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gomez\Downloads\"/>
    </mc:Choice>
  </mc:AlternateContent>
  <xr:revisionPtr revIDLastSave="0" documentId="8_{503B6B85-9FC0-4B14-8C90-7E3CA0FE3EC7}" xr6:coauthVersionLast="47" xr6:coauthVersionMax="47" xr10:uidLastSave="{00000000-0000-0000-0000-000000000000}"/>
  <bookViews>
    <workbookView xWindow="-120" yWindow="-120" windowWidth="20730" windowHeight="11040" xr2:uid="{6B26E332-8CE1-46C3-B75E-5B2ECB7D0B06}"/>
  </bookViews>
  <sheets>
    <sheet name="INFRAESTRUTURA 26-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H6" i="1"/>
  <c r="I47" i="1"/>
  <c r="K47" i="1" s="1"/>
  <c r="K50" i="1" s="1"/>
  <c r="K51" i="1" s="1"/>
  <c r="H13" i="1"/>
  <c r="H12" i="1"/>
  <c r="V11" i="1"/>
  <c r="H11" i="1"/>
  <c r="V10" i="1"/>
  <c r="H10" i="1"/>
  <c r="V9" i="1"/>
  <c r="H9" i="1"/>
  <c r="V8" i="1"/>
  <c r="H8" i="1"/>
  <c r="V7" i="1"/>
  <c r="H7" i="1"/>
  <c r="V5" i="1"/>
  <c r="H5" i="1"/>
  <c r="V4" i="1"/>
  <c r="H4" i="1"/>
  <c r="H14" i="1" l="1"/>
</calcChain>
</file>

<file path=xl/sharedStrings.xml><?xml version="1.0" encoding="utf-8"?>
<sst xmlns="http://schemas.openxmlformats.org/spreadsheetml/2006/main" count="47" uniqueCount="35">
  <si>
    <t>INFRAESTRUTURA 26-27</t>
  </si>
  <si>
    <t>Cta. Contable</t>
  </si>
  <si>
    <t>Proceso Productivo</t>
  </si>
  <si>
    <t>Especificacion</t>
  </si>
  <si>
    <t>Cant. De trabajo</t>
  </si>
  <si>
    <t xml:space="preserve">Costo </t>
  </si>
  <si>
    <t>Importe Total sin IVA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</si>
  <si>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</si>
  <si>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</si>
  <si>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</si>
  <si>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</si>
  <si>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</si>
  <si>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</si>
  <si>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</si>
  <si>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</si>
  <si>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</si>
  <si>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</si>
  <si>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</si>
  <si>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</si>
  <si>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TOTAL</t>
  </si>
  <si>
    <t>Infraestrutura</t>
  </si>
  <si>
    <t>Contrucion camino nuevo</t>
  </si>
  <si>
    <t>Desmonte para camino nuevo</t>
  </si>
  <si>
    <t>Compuertas</t>
  </si>
  <si>
    <t xml:space="preserve">Tubos </t>
  </si>
  <si>
    <t>Limpieza valo</t>
  </si>
  <si>
    <t>Reparacion de camino</t>
  </si>
  <si>
    <t>Reparacion muro protecion</t>
  </si>
  <si>
    <t>Contrucion taipon chico</t>
  </si>
  <si>
    <t>Unidad Medida</t>
  </si>
  <si>
    <t>Unidades</t>
  </si>
  <si>
    <t>Metros</t>
  </si>
  <si>
    <t>Contrucion puentes Labor Tercero</t>
  </si>
  <si>
    <t>Contrucion puentes Labor Propia</t>
  </si>
  <si>
    <t>PRESUPUESTO Aprob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</si>
</sst>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[$$-409]* #,##0.00_ ;_-[$$-409]* \-#,##0.00\ ;_-[$$-409]* &quot;-&quot;??_ ;_-@_ "/>
    <numFmt numFmtId="166" formatCode="0.0%"/>
    <numFmt numFmtId="167" formatCode="0.000"/>
    <numFmt numFmtId="168" formatCode="0.0"/>
    <numFmt numFmtId="169" formatCode="_ [$₲-3C0A]\ * #,##0.00_ ;_ [$₲-3C0A]\ * \-#,##0.00_ ;_ [$₲-3C0A]\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8" tint="0.79998168889431442"/>
      <name val="Times New Roman"/>
      <family val="1"/>
    </font>
    <font>
      <sz val="11"/>
      <color theme="8" tint="0.79998168889431442"/>
      <name val="Times New Roman"/>
      <family val="1"/>
    </font>
    <font>
      <sz val="10"/>
      <name val="Times New Roman"/>
      <family val="1"/>
    </font>
    <font>
      <b/>
      <sz val="11"/>
      <color theme="8" tint="0.79998168889431442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8" tint="0.79998168889431442"/>
      <name val="Aptos Narrow"/>
      <family val="2"/>
      <scheme val="minor"/>
    </font>
    <font>
      <b/>
      <sz val="11"/>
      <color theme="8" tint="0.7999816888943144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49">
    <xf numFmtId="0" fontId="0" fillId="0" borderId="0" xfId="0"/>
    <xf numFmtId="0" fontId="5" fillId="3" borderId="1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vertical="center" wrapText="1"/>
    </xf>
    <xf numFmtId="0" fontId="5" fillId="3" borderId="3" xfId="3" applyFont="1" applyFill="1" applyBorder="1" applyAlignment="1">
      <alignment horizontal="center" vertical="center"/>
    </xf>
    <xf numFmtId="0" fontId="5" fillId="3" borderId="4" xfId="3" applyFont="1" applyFill="1" applyBorder="1" applyAlignment="1">
      <alignment horizontal="center" vertical="center"/>
    </xf>
    <xf numFmtId="2" fontId="5" fillId="3" borderId="4" xfId="3" applyNumberFormat="1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 vertical="center" wrapText="1"/>
    </xf>
    <xf numFmtId="0" fontId="5" fillId="3" borderId="6" xfId="3" applyFont="1" applyFill="1" applyBorder="1" applyAlignment="1">
      <alignment horizontal="center" vertical="center"/>
    </xf>
    <xf numFmtId="0" fontId="5" fillId="3" borderId="7" xfId="3" applyFont="1" applyFill="1" applyBorder="1" applyAlignment="1">
      <alignment horizontal="center" vertical="center"/>
    </xf>
    <xf numFmtId="0" fontId="6" fillId="0" borderId="8" xfId="2" applyNumberFormat="1" applyFont="1" applyBorder="1" applyAlignment="1">
      <alignment horizontal="center"/>
    </xf>
    <xf numFmtId="9" fontId="6" fillId="0" borderId="8" xfId="2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2" fontId="6" fillId="5" borderId="8" xfId="1" applyNumberFormat="1" applyFont="1" applyFill="1" applyBorder="1" applyAlignment="1">
      <alignment horizontal="center"/>
    </xf>
    <xf numFmtId="165" fontId="6" fillId="0" borderId="8" xfId="1" applyNumberFormat="1" applyFont="1" applyBorder="1" applyAlignment="1">
      <alignment horizontal="center"/>
    </xf>
    <xf numFmtId="166" fontId="7" fillId="0" borderId="8" xfId="2" applyNumberFormat="1" applyFont="1" applyBorder="1" applyAlignment="1">
      <alignment horizontal="center"/>
    </xf>
    <xf numFmtId="166" fontId="6" fillId="0" borderId="8" xfId="2" applyNumberFormat="1" applyFont="1" applyBorder="1" applyAlignment="1">
      <alignment horizontal="center"/>
    </xf>
    <xf numFmtId="166" fontId="6" fillId="0" borderId="1" xfId="2" applyNumberFormat="1" applyFont="1" applyBorder="1" applyAlignment="1">
      <alignment horizontal="center"/>
    </xf>
    <xf numFmtId="9" fontId="6" fillId="6" borderId="8" xfId="2" applyFont="1" applyFill="1" applyBorder="1" applyAlignment="1">
      <alignment horizontal="center"/>
    </xf>
    <xf numFmtId="165" fontId="6" fillId="6" borderId="8" xfId="1" applyNumberFormat="1" applyFont="1" applyFill="1" applyBorder="1" applyAlignment="1">
      <alignment horizontal="center"/>
    </xf>
    <xf numFmtId="167" fontId="0" fillId="4" borderId="8" xfId="0" applyNumberFormat="1" applyFill="1" applyBorder="1" applyAlignment="1">
      <alignment horizontal="center"/>
    </xf>
    <xf numFmtId="0" fontId="0" fillId="0" borderId="8" xfId="0" applyBorder="1"/>
    <xf numFmtId="0" fontId="8" fillId="3" borderId="9" xfId="0" applyFont="1" applyFill="1" applyBorder="1"/>
    <xf numFmtId="165" fontId="9" fillId="3" borderId="9" xfId="0" applyNumberFormat="1" applyFont="1" applyFill="1" applyBorder="1"/>
    <xf numFmtId="0" fontId="5" fillId="4" borderId="0" xfId="3" applyFont="1" applyFill="1" applyAlignment="1">
      <alignment horizontal="center" vertical="center" wrapText="1"/>
    </xf>
    <xf numFmtId="0" fontId="5" fillId="4" borderId="0" xfId="3" applyFont="1" applyFill="1" applyAlignment="1">
      <alignment vertical="center" wrapText="1"/>
    </xf>
    <xf numFmtId="0" fontId="5" fillId="4" borderId="0" xfId="3" applyFont="1" applyFill="1" applyAlignment="1">
      <alignment horizontal="center" vertical="center"/>
    </xf>
    <xf numFmtId="2" fontId="5" fillId="4" borderId="0" xfId="3" applyNumberFormat="1" applyFont="1" applyFill="1" applyAlignment="1">
      <alignment horizontal="center" vertical="center"/>
    </xf>
    <xf numFmtId="0" fontId="6" fillId="4" borderId="0" xfId="2" applyNumberFormat="1" applyFont="1" applyFill="1" applyBorder="1" applyAlignment="1">
      <alignment horizontal="center"/>
    </xf>
    <xf numFmtId="9" fontId="6" fillId="4" borderId="0" xfId="2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2" fontId="6" fillId="4" borderId="0" xfId="1" applyNumberFormat="1" applyFont="1" applyFill="1" applyBorder="1" applyAlignment="1">
      <alignment horizontal="center"/>
    </xf>
    <xf numFmtId="165" fontId="6" fillId="4" borderId="0" xfId="1" applyNumberFormat="1" applyFont="1" applyFill="1" applyBorder="1" applyAlignment="1">
      <alignment horizontal="center"/>
    </xf>
    <xf numFmtId="0" fontId="0" fillId="4" borderId="0" xfId="0" applyFill="1"/>
    <xf numFmtId="166" fontId="7" fillId="4" borderId="0" xfId="2" applyNumberFormat="1" applyFont="1" applyFill="1" applyBorder="1" applyAlignment="1">
      <alignment horizontal="center"/>
    </xf>
    <xf numFmtId="166" fontId="6" fillId="4" borderId="0" xfId="2" applyNumberFormat="1" applyFont="1" applyFill="1" applyBorder="1" applyAlignment="1">
      <alignment horizontal="center"/>
    </xf>
    <xf numFmtId="167" fontId="0" fillId="4" borderId="0" xfId="0" applyNumberFormat="1" applyFill="1" applyAlignment="1">
      <alignment horizontal="center"/>
    </xf>
    <xf numFmtId="0" fontId="8" fillId="4" borderId="0" xfId="0" applyFont="1" applyFill="1"/>
    <xf numFmtId="165" fontId="9" fillId="4" borderId="0" xfId="0" applyNumberFormat="1" applyFont="1" applyFill="1"/>
    <xf numFmtId="2" fontId="0" fillId="4" borderId="0" xfId="0" applyNumberFormat="1" applyFill="1"/>
    <xf numFmtId="168" fontId="0" fillId="4" borderId="0" xfId="0" applyNumberFormat="1" applyFill="1"/>
    <xf numFmtId="169" fontId="0" fillId="0" borderId="0" xfId="0" applyNumberFormat="1"/>
    <xf numFmtId="165" fontId="0" fillId="0" borderId="0" xfId="0" applyNumberFormat="1"/>
    <xf numFmtId="164" fontId="6" fillId="5" borderId="8" xfId="1" applyFont="1" applyFill="1" applyBorder="1" applyAlignment="1">
      <alignment horizontal="center"/>
    </xf>
    <xf numFmtId="164" fontId="6" fillId="7" borderId="8" xfId="1" applyFont="1" applyFill="1" applyBorder="1" applyAlignment="1">
      <alignment horizontal="center"/>
    </xf>
    <xf numFmtId="2" fontId="6" fillId="7" borderId="8" xfId="1" applyNumberFormat="1" applyFont="1" applyFill="1" applyBorder="1" applyAlignment="1">
      <alignment horizontal="center"/>
    </xf>
    <xf numFmtId="9" fontId="2" fillId="2" borderId="0" xfId="2" applyFont="1" applyFill="1" applyBorder="1" applyAlignment="1">
      <alignment horizontal="center"/>
    </xf>
    <xf numFmtId="9" fontId="3" fillId="2" borderId="0" xfId="2" applyFont="1" applyFill="1" applyBorder="1" applyAlignment="1">
      <alignment horizontal="center"/>
    </xf>
    <xf numFmtId="9" fontId="2" fillId="4" borderId="0" xfId="2" applyFont="1" applyFill="1" applyBorder="1" applyAlignment="1">
      <alignment horizontal="center"/>
    </xf>
    <xf numFmtId="9" fontId="3" fillId="4" borderId="0" xfId="2" applyFont="1" applyFill="1" applyBorder="1" applyAlignment="1">
      <alignment horizontal="center"/>
    </xf>
  </cellXfs>
  <cellStyles count="4">
    <cellStyle name="Millares [0]" xfId="1" builtinId="6"/>
    <cellStyle name="Normal" xfId="0" builtinId="0"/>
    <cellStyle name="Normal_H Milho" xfId="3" xr:uid="{A7ADED06-DEE0-41BF-B6B2-0429686E0D6B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4B76-A96F-42E5-9201-B889D66AD6DA}">
  <dimension ref="A1:V51"/>
  <sheetViews>
    <sheetView tabSelected="1" topLeftCell="B1" zoomScale="117" zoomScaleNormal="117" workbookViewId="0">
      <selection activeCell="E10" sqref="E10"/>
    </sheetView>
  </sheetViews>
  <sheetFormatPr baseColWidth="10" defaultRowHeight="15" x14ac:dyDescent="0.25"/>
  <cols>
    <col min="1" max="1" width="18.85546875" bestFit="1" customWidth="1"/>
    <col min="2" max="3" width="30.5703125" bestFit="1" customWidth="1"/>
    <col min="4" max="4" width="15.5703125" bestFit="1" customWidth="1"/>
    <col min="5" max="5" width="23.5703125" customWidth="1"/>
    <col min="6" max="6" width="20.7109375" customWidth="1"/>
    <col min="7" max="7" width="12.7109375" bestFit="1" customWidth="1"/>
    <col min="8" max="8" width="13" bestFit="1" customWidth="1"/>
    <col min="9" max="9" width="10.28515625" bestFit="1" customWidth="1"/>
    <col min="10" max="10" width="9.28515625" customWidth="1"/>
    <col min="11" max="11" width="16.28515625" bestFit="1" customWidth="1"/>
    <col min="12" max="12" width="9.7109375" customWidth="1"/>
    <col min="13" max="14" width="7.28515625" bestFit="1" customWidth="1"/>
    <col min="15" max="15" width="9.28515625" bestFit="1" customWidth="1"/>
    <col min="16" max="16" width="10.28515625" customWidth="1"/>
    <col min="17" max="17" width="6.28515625" bestFit="1" customWidth="1"/>
    <col min="18" max="18" width="5.28515625" bestFit="1" customWidth="1"/>
    <col min="19" max="19" width="11.28515625" customWidth="1"/>
    <col min="20" max="20" width="7.28515625" bestFit="1" customWidth="1"/>
    <col min="21" max="21" width="4.85546875" bestFit="1" customWidth="1"/>
    <col min="22" max="22" width="7.7109375" bestFit="1" customWidth="1"/>
  </cols>
  <sheetData>
    <row r="1" spans="1:22" ht="14.45" customHeigh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spans="1:22" ht="15.75" thickBot="1" x14ac:dyDescent="0.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2" ht="42.75" x14ac:dyDescent="0.25">
      <c r="A3" s="1" t="s">
        <v>1</v>
      </c>
      <c r="B3" s="2" t="s">
        <v>2</v>
      </c>
      <c r="C3" s="3" t="s">
        <v>3</v>
      </c>
      <c r="D3" s="4" t="s">
        <v>4</v>
      </c>
      <c r="E3" s="5" t="s">
        <v>34</v>
      </c>
      <c r="F3" s="5" t="s">
        <v>29</v>
      </c>
      <c r="G3" s="4" t="s">
        <v>5</v>
      </c>
      <c r="H3" s="6" t="s">
        <v>6</v>
      </c>
      <c r="I3" s="7" t="s">
        <v>7</v>
      </c>
      <c r="J3" s="7" t="s">
        <v>8</v>
      </c>
      <c r="K3" s="8" t="s">
        <v>9</v>
      </c>
      <c r="L3" s="3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7</v>
      </c>
      <c r="V3" s="8" t="s">
        <v>19</v>
      </c>
    </row>
    <row r="4" spans="1:22" x14ac:dyDescent="0.25">
      <c r="A4" s="9"/>
      <c r="B4" s="10" t="s">
        <v>20</v>
      </c>
      <c r="C4" s="10" t="s">
        <v>21</v>
      </c>
      <c r="D4" s="11"/>
      <c r="E4" s="12"/>
      <c r="F4" s="12"/>
      <c r="G4" s="13">
        <v>4.5</v>
      </c>
      <c r="H4" s="18">
        <f>E4*G4</f>
        <v>0</v>
      </c>
      <c r="I4" s="14"/>
      <c r="J4" s="14">
        <v>0.2</v>
      </c>
      <c r="K4" s="14">
        <v>0.8</v>
      </c>
      <c r="L4" s="14"/>
      <c r="M4" s="14"/>
      <c r="N4" s="15"/>
      <c r="O4" s="15"/>
      <c r="P4" s="15"/>
      <c r="Q4" s="15"/>
      <c r="R4" s="15"/>
      <c r="S4" s="15"/>
      <c r="T4" s="15"/>
      <c r="U4" s="16"/>
      <c r="V4" s="17">
        <f t="shared" ref="V4:V11" si="0">SUM(I4:Q4)</f>
        <v>1</v>
      </c>
    </row>
    <row r="5" spans="1:22" x14ac:dyDescent="0.25">
      <c r="A5" s="9"/>
      <c r="B5" s="10" t="s">
        <v>20</v>
      </c>
      <c r="C5" s="10" t="s">
        <v>32</v>
      </c>
      <c r="D5" s="11"/>
      <c r="E5" s="42">
        <v>28</v>
      </c>
      <c r="F5" s="12" t="s">
        <v>30</v>
      </c>
      <c r="G5" s="13">
        <v>642.85</v>
      </c>
      <c r="H5" s="18">
        <f t="shared" ref="H5:H13" si="1">E5*G5</f>
        <v>17999.8</v>
      </c>
      <c r="I5" s="14"/>
      <c r="J5" s="14"/>
      <c r="K5" s="14"/>
      <c r="L5" s="14"/>
      <c r="M5" s="14"/>
      <c r="N5" s="15">
        <v>0.5</v>
      </c>
      <c r="O5" s="15">
        <v>0.5</v>
      </c>
      <c r="P5" s="15"/>
      <c r="Q5" s="15"/>
      <c r="R5" s="15"/>
      <c r="S5" s="15"/>
      <c r="T5" s="15"/>
      <c r="U5" s="16"/>
      <c r="V5" s="17">
        <f t="shared" si="0"/>
        <v>1</v>
      </c>
    </row>
    <row r="6" spans="1:22" x14ac:dyDescent="0.25">
      <c r="A6" s="9"/>
      <c r="B6" s="10" t="s">
        <v>20</v>
      </c>
      <c r="C6" s="10" t="s">
        <v>33</v>
      </c>
      <c r="D6" s="11"/>
      <c r="E6" s="42">
        <v>14</v>
      </c>
      <c r="F6" s="12" t="s">
        <v>30</v>
      </c>
      <c r="G6" s="13">
        <v>0</v>
      </c>
      <c r="H6" s="18">
        <f t="shared" ref="H6" si="2">E6*G6</f>
        <v>0</v>
      </c>
      <c r="I6" s="14"/>
      <c r="J6" s="14"/>
      <c r="K6" s="14"/>
      <c r="L6" s="14"/>
      <c r="M6" s="14"/>
      <c r="N6" s="15">
        <v>0</v>
      </c>
      <c r="O6" s="15">
        <v>0</v>
      </c>
      <c r="P6" s="15"/>
      <c r="Q6" s="15"/>
      <c r="R6" s="15"/>
      <c r="S6" s="15"/>
      <c r="T6" s="15"/>
      <c r="U6" s="16"/>
      <c r="V6" s="17">
        <f t="shared" ref="V6" si="3">SUM(I6:Q6)</f>
        <v>0</v>
      </c>
    </row>
    <row r="7" spans="1:22" x14ac:dyDescent="0.25">
      <c r="A7" s="9"/>
      <c r="B7" s="10" t="s">
        <v>20</v>
      </c>
      <c r="C7" s="10" t="s">
        <v>22</v>
      </c>
      <c r="D7" s="19"/>
      <c r="E7" s="42"/>
      <c r="F7" s="12"/>
      <c r="G7" s="13">
        <v>0.8</v>
      </c>
      <c r="H7" s="18">
        <f t="shared" si="1"/>
        <v>0</v>
      </c>
      <c r="I7" s="14"/>
      <c r="J7" s="14"/>
      <c r="K7" s="14"/>
      <c r="L7" s="14">
        <v>0.5</v>
      </c>
      <c r="M7" s="14">
        <v>0.5</v>
      </c>
      <c r="N7" s="14"/>
      <c r="O7" s="14"/>
      <c r="P7" s="15"/>
      <c r="Q7" s="15"/>
      <c r="R7" s="15"/>
      <c r="S7" s="15"/>
      <c r="T7" s="15"/>
      <c r="U7" s="16"/>
      <c r="V7" s="17">
        <f t="shared" si="0"/>
        <v>1</v>
      </c>
    </row>
    <row r="8" spans="1:22" x14ac:dyDescent="0.25">
      <c r="A8" s="9"/>
      <c r="B8" s="10" t="s">
        <v>20</v>
      </c>
      <c r="C8" s="10" t="s">
        <v>23</v>
      </c>
      <c r="D8" s="11"/>
      <c r="E8" s="42"/>
      <c r="F8" s="12"/>
      <c r="G8" s="13">
        <v>380</v>
      </c>
      <c r="H8" s="18">
        <f t="shared" si="1"/>
        <v>0</v>
      </c>
      <c r="I8" s="14"/>
      <c r="J8" s="14"/>
      <c r="K8" s="14"/>
      <c r="L8" s="14"/>
      <c r="M8" s="14"/>
      <c r="N8" s="15"/>
      <c r="O8" s="15"/>
      <c r="P8" s="15">
        <v>1</v>
      </c>
      <c r="Q8" s="15"/>
      <c r="R8" s="15"/>
      <c r="S8" s="15"/>
      <c r="T8" s="15"/>
      <c r="U8" s="16"/>
      <c r="V8" s="17">
        <f t="shared" si="0"/>
        <v>1</v>
      </c>
    </row>
    <row r="9" spans="1:22" x14ac:dyDescent="0.25">
      <c r="A9" s="20"/>
      <c r="B9" s="10" t="s">
        <v>20</v>
      </c>
      <c r="C9" s="10" t="s">
        <v>24</v>
      </c>
      <c r="D9" s="11"/>
      <c r="E9" s="42"/>
      <c r="F9" s="12"/>
      <c r="G9" s="13"/>
      <c r="H9" s="18">
        <f t="shared" si="1"/>
        <v>0</v>
      </c>
      <c r="I9" s="14"/>
      <c r="J9" s="14"/>
      <c r="K9" s="14"/>
      <c r="L9" s="14"/>
      <c r="M9" s="14"/>
      <c r="N9" s="15"/>
      <c r="O9" s="15">
        <v>1</v>
      </c>
      <c r="P9" s="15"/>
      <c r="Q9" s="15"/>
      <c r="R9" s="15"/>
      <c r="S9" s="15"/>
      <c r="T9" s="15"/>
      <c r="U9" s="16"/>
      <c r="V9" s="17">
        <f t="shared" si="0"/>
        <v>1</v>
      </c>
    </row>
    <row r="10" spans="1:22" x14ac:dyDescent="0.25">
      <c r="A10" s="20"/>
      <c r="B10" s="10" t="s">
        <v>20</v>
      </c>
      <c r="C10" s="10" t="s">
        <v>25</v>
      </c>
      <c r="D10" s="11"/>
      <c r="E10" s="43">
        <v>19355</v>
      </c>
      <c r="F10" s="44" t="s">
        <v>31</v>
      </c>
      <c r="G10" s="13">
        <v>0.68</v>
      </c>
      <c r="H10" s="18">
        <f t="shared" si="1"/>
        <v>13161.400000000001</v>
      </c>
      <c r="I10" s="14"/>
      <c r="J10" s="14"/>
      <c r="K10" s="14"/>
      <c r="L10" s="14"/>
      <c r="M10" s="14"/>
      <c r="N10" s="15"/>
      <c r="O10" s="15"/>
      <c r="P10" s="15"/>
      <c r="Q10" s="15"/>
      <c r="R10" s="15"/>
      <c r="S10" s="15"/>
      <c r="T10" s="15"/>
      <c r="U10" s="16"/>
      <c r="V10" s="17">
        <f t="shared" si="0"/>
        <v>0</v>
      </c>
    </row>
    <row r="11" spans="1:22" x14ac:dyDescent="0.25">
      <c r="A11" s="20"/>
      <c r="B11" s="10" t="s">
        <v>20</v>
      </c>
      <c r="C11" s="10" t="s">
        <v>26</v>
      </c>
      <c r="D11" s="11"/>
      <c r="E11" s="43">
        <v>2163</v>
      </c>
      <c r="F11" s="44" t="s">
        <v>31</v>
      </c>
      <c r="G11" s="13">
        <v>3.2</v>
      </c>
      <c r="H11" s="18">
        <f t="shared" si="1"/>
        <v>6921.6</v>
      </c>
      <c r="I11" s="14"/>
      <c r="J11" s="14"/>
      <c r="K11" s="14"/>
      <c r="L11" s="14">
        <v>0.5</v>
      </c>
      <c r="M11" s="14">
        <v>0.5</v>
      </c>
      <c r="N11" s="15"/>
      <c r="O11" s="15"/>
      <c r="P11" s="15"/>
      <c r="Q11" s="15"/>
      <c r="R11" s="15"/>
      <c r="S11" s="15"/>
      <c r="T11" s="15"/>
      <c r="U11" s="16"/>
      <c r="V11" s="17">
        <f t="shared" si="0"/>
        <v>1</v>
      </c>
    </row>
    <row r="12" spans="1:22" x14ac:dyDescent="0.25">
      <c r="A12" s="20"/>
      <c r="B12" s="10" t="s">
        <v>20</v>
      </c>
      <c r="C12" s="10" t="s">
        <v>27</v>
      </c>
      <c r="D12" s="11"/>
      <c r="E12" s="43">
        <v>5814</v>
      </c>
      <c r="F12" s="44" t="s">
        <v>31</v>
      </c>
      <c r="G12" s="13">
        <v>3.21</v>
      </c>
      <c r="H12" s="18">
        <f t="shared" si="1"/>
        <v>18662.939999999999</v>
      </c>
      <c r="I12" s="14"/>
      <c r="J12" s="14"/>
      <c r="K12" s="14"/>
      <c r="L12" s="14"/>
      <c r="M12" s="14"/>
      <c r="N12" s="15"/>
      <c r="O12" s="15"/>
      <c r="P12" s="15"/>
      <c r="Q12" s="15"/>
      <c r="R12" s="15"/>
      <c r="S12" s="15">
        <v>1</v>
      </c>
      <c r="T12" s="15"/>
      <c r="U12" s="16"/>
      <c r="V12" s="17">
        <v>1</v>
      </c>
    </row>
    <row r="13" spans="1:22" x14ac:dyDescent="0.25">
      <c r="B13" s="10"/>
      <c r="C13" s="10" t="s">
        <v>28</v>
      </c>
      <c r="D13" s="19"/>
      <c r="E13" s="12"/>
      <c r="F13" s="12"/>
      <c r="G13" s="13">
        <v>2.14</v>
      </c>
      <c r="H13" s="18">
        <f t="shared" si="1"/>
        <v>0</v>
      </c>
    </row>
    <row r="14" spans="1:22" x14ac:dyDescent="0.25">
      <c r="A14" s="21"/>
      <c r="B14" s="21"/>
      <c r="C14" s="21"/>
      <c r="D14" s="21"/>
      <c r="E14" s="21"/>
      <c r="F14" s="21"/>
      <c r="G14" s="21"/>
      <c r="H14" s="22">
        <f>SUM(H4:H13)</f>
        <v>56745.740000000005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x14ac:dyDescent="0.25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16" spans="1:22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</row>
    <row r="17" spans="1:22" x14ac:dyDescent="0.25">
      <c r="A17" s="23"/>
      <c r="B17" s="24"/>
      <c r="C17" s="25"/>
      <c r="D17" s="25"/>
      <c r="E17" s="26"/>
      <c r="F17" s="26"/>
      <c r="G17" s="25"/>
      <c r="H17" s="23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 x14ac:dyDescent="0.25">
      <c r="A18" s="27"/>
      <c r="B18" s="28"/>
      <c r="C18" s="28"/>
      <c r="D18" s="29"/>
      <c r="E18" s="30"/>
      <c r="F18" s="30"/>
      <c r="G18" s="31"/>
      <c r="H18" s="32"/>
      <c r="I18" s="33"/>
      <c r="J18" s="33"/>
      <c r="K18" s="33"/>
      <c r="L18" s="33"/>
      <c r="M18" s="33"/>
      <c r="N18" s="34"/>
      <c r="O18" s="34"/>
      <c r="P18" s="34"/>
      <c r="Q18" s="34"/>
      <c r="R18" s="34"/>
      <c r="S18" s="34"/>
      <c r="T18" s="34"/>
      <c r="U18" s="34"/>
      <c r="V18" s="28"/>
    </row>
    <row r="19" spans="1:22" x14ac:dyDescent="0.25">
      <c r="A19" s="27"/>
      <c r="B19" s="28"/>
      <c r="C19" s="28"/>
      <c r="D19" s="29"/>
      <c r="E19" s="30"/>
      <c r="F19" s="30"/>
      <c r="G19" s="31"/>
      <c r="H19" s="32"/>
      <c r="I19" s="33"/>
      <c r="J19" s="33"/>
      <c r="K19" s="33"/>
      <c r="L19" s="33"/>
      <c r="M19" s="33"/>
      <c r="N19" s="34"/>
      <c r="O19" s="34"/>
      <c r="P19" s="34"/>
      <c r="Q19" s="34"/>
      <c r="R19" s="34"/>
      <c r="S19" s="34"/>
      <c r="T19" s="34"/>
      <c r="U19" s="34"/>
      <c r="V19" s="28"/>
    </row>
    <row r="20" spans="1:22" x14ac:dyDescent="0.25">
      <c r="A20" s="27"/>
      <c r="B20" s="28"/>
      <c r="C20" s="28"/>
      <c r="D20" s="35"/>
      <c r="E20" s="32"/>
      <c r="F20" s="32"/>
      <c r="G20" s="31"/>
      <c r="H20" s="32"/>
      <c r="I20" s="33"/>
      <c r="J20" s="33"/>
      <c r="K20" s="33"/>
      <c r="L20" s="33"/>
      <c r="M20" s="33"/>
      <c r="N20" s="33"/>
      <c r="O20" s="33"/>
      <c r="P20" s="34"/>
      <c r="Q20" s="34"/>
      <c r="R20" s="34"/>
      <c r="S20" s="34"/>
      <c r="T20" s="34"/>
      <c r="U20" s="34"/>
      <c r="V20" s="28"/>
    </row>
    <row r="21" spans="1:22" x14ac:dyDescent="0.25">
      <c r="A21" s="27"/>
      <c r="B21" s="28"/>
      <c r="C21" s="28"/>
      <c r="D21" s="29"/>
      <c r="E21" s="30"/>
      <c r="F21" s="30"/>
      <c r="G21" s="31"/>
      <c r="H21" s="32"/>
      <c r="I21" s="33"/>
      <c r="J21" s="33"/>
      <c r="K21" s="33"/>
      <c r="L21" s="33"/>
      <c r="M21" s="33"/>
      <c r="N21" s="34"/>
      <c r="O21" s="34"/>
      <c r="P21" s="34"/>
      <c r="Q21" s="34"/>
      <c r="R21" s="34"/>
      <c r="S21" s="34"/>
      <c r="T21" s="34"/>
      <c r="U21" s="34"/>
      <c r="V21" s="28"/>
    </row>
    <row r="22" spans="1:22" x14ac:dyDescent="0.25">
      <c r="A22" s="32"/>
      <c r="B22" s="28"/>
      <c r="C22" s="28"/>
      <c r="D22" s="29"/>
      <c r="E22" s="30"/>
      <c r="F22" s="30"/>
      <c r="G22" s="31"/>
      <c r="H22" s="32"/>
      <c r="I22" s="33"/>
      <c r="J22" s="33"/>
      <c r="K22" s="33"/>
      <c r="L22" s="33"/>
      <c r="M22" s="33"/>
      <c r="N22" s="34"/>
      <c r="O22" s="34"/>
      <c r="P22" s="34"/>
      <c r="Q22" s="34"/>
      <c r="R22" s="34"/>
      <c r="S22" s="34"/>
      <c r="T22" s="34"/>
      <c r="U22" s="34"/>
      <c r="V22" s="28"/>
    </row>
    <row r="23" spans="1:22" x14ac:dyDescent="0.25">
      <c r="A23" s="32"/>
      <c r="B23" s="28"/>
      <c r="C23" s="28"/>
      <c r="D23" s="29"/>
      <c r="E23" s="30"/>
      <c r="F23" s="30"/>
      <c r="G23" s="31"/>
      <c r="H23" s="32"/>
      <c r="I23" s="33"/>
      <c r="J23" s="33"/>
      <c r="K23" s="33"/>
      <c r="L23" s="33"/>
      <c r="M23" s="33"/>
      <c r="N23" s="34"/>
      <c r="O23" s="34"/>
      <c r="P23" s="34"/>
      <c r="Q23" s="34"/>
      <c r="R23" s="34"/>
      <c r="S23" s="34"/>
      <c r="T23" s="34"/>
      <c r="U23" s="34"/>
      <c r="V23" s="28"/>
    </row>
    <row r="24" spans="1:22" x14ac:dyDescent="0.25">
      <c r="A24" s="32"/>
      <c r="B24" s="28"/>
      <c r="C24" s="28"/>
      <c r="D24" s="29"/>
      <c r="E24" s="30"/>
      <c r="F24" s="30"/>
      <c r="G24" s="31"/>
      <c r="H24" s="32"/>
      <c r="I24" s="33"/>
      <c r="J24" s="33"/>
      <c r="K24" s="33"/>
      <c r="L24" s="33"/>
      <c r="M24" s="33"/>
      <c r="N24" s="34"/>
      <c r="O24" s="34"/>
      <c r="P24" s="34"/>
      <c r="Q24" s="34"/>
      <c r="R24" s="34"/>
      <c r="S24" s="34"/>
      <c r="T24" s="34"/>
      <c r="U24" s="34"/>
      <c r="V24" s="28"/>
    </row>
    <row r="25" spans="1:22" x14ac:dyDescent="0.25">
      <c r="A25" s="32"/>
      <c r="B25" s="28"/>
      <c r="C25" s="28"/>
      <c r="D25" s="29"/>
      <c r="E25" s="30"/>
      <c r="F25" s="30"/>
      <c r="G25" s="31"/>
      <c r="H25" s="32"/>
      <c r="I25" s="33"/>
      <c r="J25" s="33"/>
      <c r="K25" s="33"/>
      <c r="L25" s="33"/>
      <c r="M25" s="33"/>
      <c r="N25" s="34"/>
      <c r="O25" s="34"/>
      <c r="P25" s="34"/>
      <c r="Q25" s="34"/>
      <c r="R25" s="34"/>
      <c r="S25" s="34"/>
      <c r="T25" s="34"/>
      <c r="U25" s="34"/>
      <c r="V25" s="28"/>
    </row>
    <row r="26" spans="1:22" x14ac:dyDescent="0.25">
      <c r="A26" s="32"/>
      <c r="B26" s="28"/>
      <c r="C26" s="28"/>
      <c r="D26" s="32"/>
      <c r="E26" s="30"/>
      <c r="F26" s="30"/>
      <c r="G26" s="31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1:22" x14ac:dyDescent="0.25">
      <c r="A27" s="36"/>
      <c r="B27" s="36"/>
      <c r="C27" s="36"/>
      <c r="D27" s="36"/>
      <c r="E27" s="36"/>
      <c r="F27" s="36"/>
      <c r="G27" s="37"/>
      <c r="H27" s="32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r="29" spans="1:22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0" spans="1:22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</row>
    <row r="31" spans="1:22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</row>
    <row r="32" spans="1:22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8"/>
      <c r="N32" s="32"/>
      <c r="O32" s="32"/>
      <c r="P32" s="32"/>
      <c r="Q32" s="32"/>
      <c r="R32" s="32"/>
      <c r="S32" s="32"/>
      <c r="T32" s="32"/>
      <c r="U32" s="32"/>
      <c r="V32" s="32"/>
    </row>
    <row r="33" spans="1:22" x14ac:dyDescent="0.25">
      <c r="A33" s="32"/>
      <c r="B33" s="32"/>
      <c r="C33" s="32"/>
      <c r="D33" s="32"/>
      <c r="E33" s="32"/>
      <c r="F33" s="32"/>
      <c r="G33" s="32"/>
      <c r="H33" s="38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</row>
    <row r="34" spans="1:22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</row>
    <row r="35" spans="1:22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</row>
    <row r="36" spans="1:22" x14ac:dyDescent="0.25">
      <c r="A36" s="32"/>
      <c r="B36" s="32"/>
      <c r="C36" s="32"/>
      <c r="D36" s="32"/>
      <c r="E36" s="32"/>
      <c r="F36" s="32"/>
      <c r="G36" s="32"/>
      <c r="H36" s="39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7" spans="1:22" x14ac:dyDescent="0.25">
      <c r="A37" s="32"/>
      <c r="B37" s="32"/>
      <c r="C37" s="32"/>
      <c r="D37" s="32"/>
      <c r="E37" s="32"/>
      <c r="F37" s="32"/>
      <c r="G37" s="32"/>
      <c r="H37" s="32"/>
      <c r="I37" s="39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47" spans="1:22" x14ac:dyDescent="0.25">
      <c r="G47">
        <v>6530</v>
      </c>
      <c r="H47">
        <v>22</v>
      </c>
      <c r="I47">
        <f>G47/H47</f>
        <v>296.81818181818181</v>
      </c>
      <c r="K47" s="40">
        <f>I47*K48</f>
        <v>133568181.81818181</v>
      </c>
    </row>
    <row r="48" spans="1:22" x14ac:dyDescent="0.25">
      <c r="K48" s="40">
        <v>450000</v>
      </c>
    </row>
    <row r="49" spans="11:11" x14ac:dyDescent="0.25">
      <c r="K49">
        <v>6400</v>
      </c>
    </row>
    <row r="50" spans="11:11" x14ac:dyDescent="0.25">
      <c r="K50" s="41">
        <f>K47/K49</f>
        <v>20870.028409090908</v>
      </c>
    </row>
    <row r="51" spans="11:11" x14ac:dyDescent="0.25">
      <c r="K51" s="41">
        <f>K50/G47</f>
        <v>3.1960227272727271</v>
      </c>
    </row>
  </sheetData>
  <mergeCells count="2">
    <mergeCell ref="A1:V2"/>
    <mergeCell ref="A15:V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INFRAESTRUTURA 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Christoffer Reis</dc:creator>
  <cp:lastModifiedBy>Andres Gomez</cp:lastModifiedBy>
  <dcterms:created xsi:type="dcterms:W3CDTF">2026-03-21T14:05:53Z</dcterms:created>
  <dcterms:modified xsi:type="dcterms:W3CDTF">2026-07-27T11:42:42Z</dcterms:modified>
</cp:coreProperties>
</file>